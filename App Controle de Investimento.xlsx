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34007662835\Desktop\"/>
    </mc:Choice>
  </mc:AlternateContent>
  <xr:revisionPtr revIDLastSave="0" documentId="13_ncr:1_{D564586D-87CB-461F-A0FE-AE297F9E2E0A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APP" sheetId="2" r:id="rId1"/>
    <sheet name="Base de d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1" i="2" l="1"/>
  <c r="C42" i="2"/>
  <c r="C43" i="2"/>
  <c r="C44" i="2"/>
  <c r="C45" i="2"/>
  <c r="C40" i="2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4" i="3"/>
  <c r="C37" i="2" l="1"/>
  <c r="D42" i="2" s="1"/>
  <c r="D13" i="2"/>
  <c r="C24" i="2"/>
  <c r="D24" i="2" s="1"/>
  <c r="C25" i="2"/>
  <c r="D25" i="2" s="1"/>
  <c r="C26" i="2"/>
  <c r="D26" i="2" s="1"/>
  <c r="C27" i="2"/>
  <c r="D27" i="2" s="1"/>
  <c r="C23" i="2"/>
  <c r="D23" i="2" s="1"/>
  <c r="D41" i="2" l="1"/>
  <c r="C31" i="2"/>
  <c r="D31" i="2" s="1"/>
  <c r="C33" i="2"/>
  <c r="D33" i="2" s="1"/>
  <c r="C34" i="2"/>
  <c r="D34" i="2" s="1"/>
  <c r="C30" i="2"/>
  <c r="D30" i="2" s="1"/>
  <c r="C32" i="2"/>
  <c r="D32" i="2" s="1"/>
  <c r="D40" i="2"/>
  <c r="D43" i="2"/>
  <c r="D45" i="2"/>
  <c r="D44" i="2"/>
  <c r="D19" i="2"/>
  <c r="D20" i="2" s="1"/>
  <c r="D46" i="2" l="1"/>
</calcChain>
</file>

<file path=xl/sharedStrings.xml><?xml version="1.0" encoding="utf-8"?>
<sst xmlns="http://schemas.openxmlformats.org/spreadsheetml/2006/main" count="76" uniqueCount="34">
  <si>
    <t>INVESTIMENTO MENSAL</t>
  </si>
  <si>
    <t>Patrimônio acumulado ?</t>
  </si>
  <si>
    <t>Dividendos mensais ?</t>
  </si>
  <si>
    <t>Taxa de Rendimento mensal ?</t>
  </si>
  <si>
    <t>Por quantos anos ?</t>
  </si>
  <si>
    <t>Quanto investir por mês ?</t>
  </si>
  <si>
    <t>Acumalado em 2 anos ?</t>
  </si>
  <si>
    <t>Acumalado em 5 anos ?</t>
  </si>
  <si>
    <t>Acumalado em 10 anos ?</t>
  </si>
  <si>
    <t>Acumalado em 20 anos ?</t>
  </si>
  <si>
    <t>Acumalado em 30 anos ?</t>
  </si>
  <si>
    <t>CENÁRIOS</t>
  </si>
  <si>
    <t>Dividendo</t>
  </si>
  <si>
    <t>Salário</t>
  </si>
  <si>
    <t>Rendimento Carteira</t>
  </si>
  <si>
    <t>CONFIGURAÇÕES</t>
  </si>
  <si>
    <t>CONSERVADOR</t>
  </si>
  <si>
    <t>VALOR A SER INVESTIDO POR MÊS</t>
  </si>
  <si>
    <t>PERFIL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</si>
  <si>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</si>
  <si>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</si>
  <si>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</si>
  <si>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</si>
  <si>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</si>
  <si>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</si>
  <si>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</si>
  <si>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</si>
  <si>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</si>
  <si>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%</t>
  </si>
  <si>
    <t>CHAVE</t>
  </si>
  <si>
    <t>MODERADO</t>
  </si>
  <si>
    <t>AGRESSIVO</t>
  </si>
  <si>
    <t>Sugestão de Investimento (30%)</t>
  </si>
  <si>
    <t>CENÁRIOS (investindo 30% salário)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</si>
</sst>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Nirmala UI"/>
      <family val="2"/>
    </font>
    <font>
      <b/>
      <sz val="11"/>
      <color theme="1" tint="0.249977111117893"/>
      <name val="Nirmala UI"/>
      <family val="2"/>
    </font>
    <font>
      <b/>
      <sz val="11"/>
      <color theme="0"/>
      <name val="Nirmala UI"/>
      <family val="2"/>
    </font>
    <font>
      <sz val="11"/>
      <color theme="0"/>
      <name val="Nirmala UI"/>
      <family val="2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0"/>
      <name val="Nirmala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8" fontId="3" fillId="2" borderId="6" xfId="0" applyNumberFormat="1" applyFont="1" applyFill="1" applyBorder="1" applyAlignment="1">
      <alignment horizontal="center"/>
    </xf>
    <xf numFmtId="8" fontId="3" fillId="2" borderId="8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8" fontId="2" fillId="2" borderId="9" xfId="0" applyNumberFormat="1" applyFont="1" applyFill="1" applyBorder="1" applyAlignment="1">
      <alignment horizontal="center"/>
    </xf>
    <xf numFmtId="8" fontId="2" fillId="2" borderId="4" xfId="0" applyNumberFormat="1" applyFont="1" applyFill="1" applyBorder="1" applyAlignment="1">
      <alignment horizontal="center"/>
    </xf>
    <xf numFmtId="8" fontId="2" fillId="2" borderId="10" xfId="0" applyNumberFormat="1" applyFont="1" applyFill="1" applyBorder="1" applyAlignment="1">
      <alignment horizontal="center"/>
    </xf>
    <xf numFmtId="8" fontId="2" fillId="2" borderId="1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 indent="2"/>
    </xf>
    <xf numFmtId="0" fontId="2" fillId="2" borderId="5" xfId="0" applyFont="1" applyFill="1" applyBorder="1" applyAlignment="1">
      <alignment horizontal="left" indent="2"/>
    </xf>
    <xf numFmtId="0" fontId="2" fillId="2" borderId="7" xfId="0" applyFont="1" applyFill="1" applyBorder="1" applyAlignment="1">
      <alignment horizontal="left" indent="2"/>
    </xf>
    <xf numFmtId="164" fontId="2" fillId="2" borderId="8" xfId="0" applyNumberFormat="1" applyFont="1" applyFill="1" applyBorder="1" applyAlignment="1">
      <alignment horizontal="center"/>
    </xf>
    <xf numFmtId="8" fontId="2" fillId="2" borderId="6" xfId="0" applyNumberFormat="1" applyFont="1" applyFill="1" applyBorder="1" applyAlignment="1">
      <alignment horizontal="center"/>
    </xf>
    <xf numFmtId="8" fontId="2" fillId="2" borderId="8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3" fillId="3" borderId="0" xfId="0" applyNumberFormat="1" applyFont="1" applyFill="1"/>
    <xf numFmtId="0" fontId="2" fillId="2" borderId="5" xfId="0" applyFont="1" applyFill="1" applyBorder="1" applyAlignment="1">
      <alignment horizontal="left" indent="2"/>
    </xf>
    <xf numFmtId="0" fontId="2" fillId="2" borderId="3" xfId="0" applyFont="1" applyFill="1" applyBorder="1" applyAlignment="1">
      <alignment horizontal="left" indent="2"/>
    </xf>
    <xf numFmtId="0" fontId="2" fillId="2" borderId="7" xfId="0" applyFont="1" applyFill="1" applyBorder="1" applyAlignment="1">
      <alignment horizontal="left" indent="2"/>
    </xf>
    <xf numFmtId="0" fontId="0" fillId="0" borderId="13" xfId="0" applyBorder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9" fontId="6" fillId="4" borderId="0" xfId="2" applyFont="1" applyFill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7" fillId="5" borderId="0" xfId="3" applyAlignment="1">
      <alignment horizontal="left" indent="2"/>
    </xf>
    <xf numFmtId="0" fontId="8" fillId="6" borderId="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/>
    </xf>
    <xf numFmtId="0" fontId="7" fillId="5" borderId="0" xfId="3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indent="2"/>
    </xf>
    <xf numFmtId="0" fontId="2" fillId="2" borderId="9" xfId="0" applyFont="1" applyFill="1" applyBorder="1" applyAlignment="1">
      <alignment horizontal="left" indent="2"/>
    </xf>
    <xf numFmtId="0" fontId="2" fillId="2" borderId="5" xfId="0" applyFont="1" applyFill="1" applyBorder="1" applyAlignment="1">
      <alignment horizontal="left" indent="2"/>
    </xf>
    <xf numFmtId="0" fontId="2" fillId="2" borderId="10" xfId="0" applyFont="1" applyFill="1" applyBorder="1" applyAlignment="1">
      <alignment horizontal="left" indent="2"/>
    </xf>
    <xf numFmtId="0" fontId="2" fillId="2" borderId="7" xfId="0" applyFont="1" applyFill="1" applyBorder="1" applyAlignment="1">
      <alignment horizontal="left" indent="2"/>
    </xf>
    <xf numFmtId="0" fontId="2" fillId="2" borderId="12" xfId="0" applyFont="1" applyFill="1" applyBorder="1" applyAlignment="1">
      <alignment horizontal="left" indent="2"/>
    </xf>
    <xf numFmtId="0" fontId="3" fillId="2" borderId="7" xfId="0" applyFont="1" applyFill="1" applyBorder="1" applyAlignment="1">
      <alignment horizontal="left" indent="2"/>
    </xf>
    <xf numFmtId="0" fontId="3" fillId="2" borderId="12" xfId="0" applyFont="1" applyFill="1" applyBorder="1" applyAlignment="1">
      <alignment horizontal="left" indent="2"/>
    </xf>
    <xf numFmtId="0" fontId="3" fillId="2" borderId="5" xfId="0" applyFont="1" applyFill="1" applyBorder="1" applyAlignment="1">
      <alignment horizontal="left" indent="2"/>
    </xf>
    <xf numFmtId="0" fontId="3" fillId="2" borderId="10" xfId="0" applyFont="1" applyFill="1" applyBorder="1" applyAlignment="1">
      <alignment horizontal="left" indent="2"/>
    </xf>
    <xf numFmtId="0" fontId="8" fillId="6" borderId="2" xfId="0" applyFont="1" applyFill="1" applyBorder="1" applyAlignment="1">
      <alignment horizontal="center" vertical="center"/>
    </xf>
  </cellXfs>
  <cellStyles count="4">
    <cellStyle name="Bom" xfId="3" builtinId="26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4C-4CE6-8386-61533520E6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4C-4CE6-8386-61533520E6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4C-4CE6-8386-61533520E69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4C-4CE6-8386-61533520E69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4C-4CE6-8386-61533520E69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4C-4CE6-8386-61533520E6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APP!$C$40:$C$45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3-4222-9301-33EC244FF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1114425</xdr:colOff>
      <xdr:row>46</xdr:row>
      <xdr:rowOff>52387</xdr:rowOff>
    </xdr:from>
    <xdr:to>
      <xdr:col>3</xdr:col>
      <xdr:colOff>1327383</xdr:colOff>
      <xdr:row>56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B1EC49-4301-427D-8F33-D12090A8F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466725</xdr:colOff>
      <xdr:row>0</xdr:row>
      <xdr:rowOff>114301</xdr:rowOff>
    </xdr:from>
    <xdr:to>
      <xdr:col>4</xdr:col>
      <xdr:colOff>171450</xdr:colOff>
      <xdr:row>6</xdr:row>
      <xdr:rowOff>201661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FE64ED9-EB83-4AF2-97F8-E068FC386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114301"/>
          <a:ext cx="5981700" cy="134466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chemeClr val="bg1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F46"/>
  <sheetViews>
    <sheetView showGridLines="0" showRowColHeaders="0" tabSelected="1" workbookViewId="0">
      <selection activeCell="E15" sqref="E15"/>
    </sheetView>
  </sheetViews>
  <sheetFormatPr defaultColWidth="0" defaultRowHeight="16.5" x14ac:dyDescent="0.3"/>
  <cols>
    <col min="1" max="1" width="8" style="1" customWidth="1"/>
    <col min="2" max="2" width="42.140625" style="1" bestFit="1" customWidth="1"/>
    <col min="3" max="3" width="22" style="2" customWidth="1"/>
    <col min="4" max="4" width="22" style="1" customWidth="1"/>
    <col min="5" max="5" width="10.7109375" style="1" customWidth="1"/>
    <col min="6" max="6" width="11.7109375" style="1" hidden="1" customWidth="1"/>
    <col min="7" max="16384" width="9.140625" style="1" hidden="1"/>
  </cols>
  <sheetData>
    <row r="9" spans="2:4" ht="6" customHeight="1" thickBot="1" x14ac:dyDescent="0.35"/>
    <row r="10" spans="2:4" ht="26.25" x14ac:dyDescent="0.3">
      <c r="B10" s="50" t="s">
        <v>15</v>
      </c>
      <c r="C10" s="51"/>
      <c r="D10" s="52"/>
    </row>
    <row r="11" spans="2:4" x14ac:dyDescent="0.3">
      <c r="B11" s="53" t="s">
        <v>13</v>
      </c>
      <c r="C11" s="54"/>
      <c r="D11" s="3">
        <v>7000</v>
      </c>
    </row>
    <row r="12" spans="2:4" x14ac:dyDescent="0.3">
      <c r="B12" s="55" t="s">
        <v>14</v>
      </c>
      <c r="C12" s="56"/>
      <c r="D12" s="36">
        <v>8.0000000000000002E-3</v>
      </c>
    </row>
    <row r="13" spans="2:4" ht="17.25" thickBot="1" x14ac:dyDescent="0.35">
      <c r="B13" s="57" t="s">
        <v>32</v>
      </c>
      <c r="C13" s="58"/>
      <c r="D13" s="18">
        <f>D11*30%</f>
        <v>2100</v>
      </c>
    </row>
    <row r="14" spans="2:4" ht="17.25" thickBot="1" x14ac:dyDescent="0.35">
      <c r="B14" s="10"/>
      <c r="C14" s="10"/>
    </row>
    <row r="15" spans="2:4" ht="26.25" x14ac:dyDescent="0.3">
      <c r="B15" s="44" t="s">
        <v>0</v>
      </c>
      <c r="C15" s="45"/>
      <c r="D15" s="63"/>
    </row>
    <row r="16" spans="2:4" x14ac:dyDescent="0.3">
      <c r="B16" s="53" t="s">
        <v>5</v>
      </c>
      <c r="C16" s="54"/>
      <c r="D16" s="4">
        <v>700</v>
      </c>
    </row>
    <row r="17" spans="1:4" x14ac:dyDescent="0.3">
      <c r="B17" s="55" t="s">
        <v>4</v>
      </c>
      <c r="C17" s="56"/>
      <c r="D17" s="5">
        <v>8</v>
      </c>
    </row>
    <row r="18" spans="1:4" x14ac:dyDescent="0.3">
      <c r="B18" s="55" t="s">
        <v>3</v>
      </c>
      <c r="C18" s="56"/>
      <c r="D18" s="6">
        <v>1.0789999999999999E-2</v>
      </c>
    </row>
    <row r="19" spans="1:4" x14ac:dyDescent="0.3">
      <c r="B19" s="61" t="s">
        <v>1</v>
      </c>
      <c r="C19" s="62"/>
      <c r="D19" s="7">
        <f>FV(D18,D17*12,D16*-1)</f>
        <v>116896.91969426192</v>
      </c>
    </row>
    <row r="20" spans="1:4" ht="17.25" thickBot="1" x14ac:dyDescent="0.35">
      <c r="B20" s="59" t="s">
        <v>2</v>
      </c>
      <c r="C20" s="60"/>
      <c r="D20" s="8">
        <f>D19*1%</f>
        <v>1168.9691969426192</v>
      </c>
    </row>
    <row r="21" spans="1:4" ht="17.25" thickBot="1" x14ac:dyDescent="0.35"/>
    <row r="22" spans="1:4" ht="26.25" x14ac:dyDescent="0.3">
      <c r="B22" s="44" t="s">
        <v>11</v>
      </c>
      <c r="C22" s="45"/>
      <c r="D22" s="39" t="s">
        <v>12</v>
      </c>
    </row>
    <row r="23" spans="1:4" x14ac:dyDescent="0.3">
      <c r="A23" s="9">
        <v>2</v>
      </c>
      <c r="B23" s="15" t="s">
        <v>6</v>
      </c>
      <c r="C23" s="11">
        <f>FV($D$18,A23*12,$D$16*-1)</f>
        <v>19059.339108351651</v>
      </c>
      <c r="D23" s="12">
        <f>C23*$D$12</f>
        <v>152.47471286681321</v>
      </c>
    </row>
    <row r="24" spans="1:4" x14ac:dyDescent="0.3">
      <c r="A24" s="9">
        <v>5</v>
      </c>
      <c r="B24" s="16" t="s">
        <v>7</v>
      </c>
      <c r="C24" s="13">
        <f>FV($D$18,A24*12,$D$16*-1)</f>
        <v>58643.83979894135</v>
      </c>
      <c r="D24" s="19">
        <f>C24*$D$12</f>
        <v>469.1507183915308</v>
      </c>
    </row>
    <row r="25" spans="1:4" x14ac:dyDescent="0.3">
      <c r="A25" s="9">
        <v>10</v>
      </c>
      <c r="B25" s="16" t="s">
        <v>8</v>
      </c>
      <c r="C25" s="13">
        <f>FV($D$18,A25*12,$D$16*-1)</f>
        <v>170298.94877112054</v>
      </c>
      <c r="D25" s="19">
        <f>C25*$D$12</f>
        <v>1362.3915901689643</v>
      </c>
    </row>
    <row r="26" spans="1:4" x14ac:dyDescent="0.3">
      <c r="A26" s="9">
        <v>20</v>
      </c>
      <c r="B26" s="16" t="s">
        <v>9</v>
      </c>
      <c r="C26" s="13">
        <f>FV($D$18,A26*12,$D$16*-1)</f>
        <v>787638.8800679564</v>
      </c>
      <c r="D26" s="19">
        <f>C26*$D$12</f>
        <v>6301.1110405436511</v>
      </c>
    </row>
    <row r="27" spans="1:4" ht="17.25" thickBot="1" x14ac:dyDescent="0.35">
      <c r="A27" s="9">
        <v>30</v>
      </c>
      <c r="B27" s="17" t="s">
        <v>10</v>
      </c>
      <c r="C27" s="14">
        <f>FV($D$18,A27*12,$D$16*-1)</f>
        <v>3025518.7585033001</v>
      </c>
      <c r="D27" s="20">
        <f>C27*$D$12</f>
        <v>24204.1500680264</v>
      </c>
    </row>
    <row r="28" spans="1:4" ht="17.25" thickBot="1" x14ac:dyDescent="0.35"/>
    <row r="29" spans="1:4" ht="26.25" x14ac:dyDescent="0.3">
      <c r="B29" s="48" t="s">
        <v>33</v>
      </c>
      <c r="C29" s="49"/>
      <c r="D29" s="40" t="s">
        <v>12</v>
      </c>
    </row>
    <row r="30" spans="1:4" x14ac:dyDescent="0.3">
      <c r="A30" s="9">
        <v>2</v>
      </c>
      <c r="B30" s="28" t="s">
        <v>6</v>
      </c>
      <c r="C30" s="11">
        <f>FV($D$18,A30*12,$D$13*-1)</f>
        <v>57178.017325054956</v>
      </c>
      <c r="D30" s="12">
        <f>C30*$D$12</f>
        <v>457.42413860043968</v>
      </c>
    </row>
    <row r="31" spans="1:4" x14ac:dyDescent="0.3">
      <c r="A31" s="9">
        <v>5</v>
      </c>
      <c r="B31" s="27" t="s">
        <v>7</v>
      </c>
      <c r="C31" s="13">
        <f t="shared" ref="C31:C34" si="0">FV($D$18,A31*12,$D$13*-1)</f>
        <v>175931.51939682406</v>
      </c>
      <c r="D31" s="19">
        <f>C31*$D$12</f>
        <v>1407.4521551745925</v>
      </c>
    </row>
    <row r="32" spans="1:4" x14ac:dyDescent="0.3">
      <c r="A32" s="9">
        <v>10</v>
      </c>
      <c r="B32" s="27" t="s">
        <v>8</v>
      </c>
      <c r="C32" s="13">
        <f t="shared" si="0"/>
        <v>510896.8463133616</v>
      </c>
      <c r="D32" s="19">
        <f>C32*$D$12</f>
        <v>4087.1747705068929</v>
      </c>
    </row>
    <row r="33" spans="1:4" x14ac:dyDescent="0.3">
      <c r="A33" s="9">
        <v>20</v>
      </c>
      <c r="B33" s="27" t="s">
        <v>9</v>
      </c>
      <c r="C33" s="13">
        <f t="shared" si="0"/>
        <v>2362916.6402038694</v>
      </c>
      <c r="D33" s="19">
        <f>C33*$D$12</f>
        <v>18903.333121630956</v>
      </c>
    </row>
    <row r="34" spans="1:4" ht="17.25" thickBot="1" x14ac:dyDescent="0.35">
      <c r="A34" s="9">
        <v>30</v>
      </c>
      <c r="B34" s="29" t="s">
        <v>10</v>
      </c>
      <c r="C34" s="14">
        <f t="shared" si="0"/>
        <v>9076556.2755099013</v>
      </c>
      <c r="D34" s="20">
        <f>C34*$D$12</f>
        <v>72612.450204079214</v>
      </c>
    </row>
    <row r="36" spans="1:4" x14ac:dyDescent="0.3">
      <c r="B36" s="43" t="s">
        <v>18</v>
      </c>
      <c r="C36" s="47" t="s">
        <v>16</v>
      </c>
      <c r="D36" s="47"/>
    </row>
    <row r="37" spans="1:4" x14ac:dyDescent="0.3">
      <c r="B37" s="42" t="s">
        <v>17</v>
      </c>
      <c r="C37" s="46">
        <f>D16</f>
        <v>700</v>
      </c>
      <c r="D37" s="46"/>
    </row>
    <row r="39" spans="1:4" x14ac:dyDescent="0.3">
      <c r="B39" s="23" t="s">
        <v>19</v>
      </c>
      <c r="C39" s="23" t="s">
        <v>26</v>
      </c>
      <c r="D39" s="23" t="s">
        <v>27</v>
      </c>
    </row>
    <row r="40" spans="1:4" x14ac:dyDescent="0.3">
      <c r="B40" s="41" t="s">
        <v>20</v>
      </c>
      <c r="C40" s="21">
        <f>VLOOKUP($C$36&amp;"-"&amp;B40,'Base de dados'!A:D,4,FALSE)</f>
        <v>0.3</v>
      </c>
      <c r="D40" s="22">
        <f>$C$37*C40</f>
        <v>210</v>
      </c>
    </row>
    <row r="41" spans="1:4" x14ac:dyDescent="0.3">
      <c r="B41" s="41" t="s">
        <v>21</v>
      </c>
      <c r="C41" s="21">
        <f>VLOOKUP($C$36&amp;"-"&amp;B41,'Base de dados'!A:D,4,FALSE)</f>
        <v>0.5</v>
      </c>
      <c r="D41" s="22">
        <f t="shared" ref="D41:D45" si="1">$C$37*C41</f>
        <v>350</v>
      </c>
    </row>
    <row r="42" spans="1:4" x14ac:dyDescent="0.3">
      <c r="B42" s="41" t="s">
        <v>22</v>
      </c>
      <c r="C42" s="21">
        <f>VLOOKUP($C$36&amp;"-"&amp;B42,'Base de dados'!A:D,4,FALSE)</f>
        <v>0.1</v>
      </c>
      <c r="D42" s="22">
        <f t="shared" si="1"/>
        <v>70</v>
      </c>
    </row>
    <row r="43" spans="1:4" x14ac:dyDescent="0.3">
      <c r="B43" s="41" t="s">
        <v>23</v>
      </c>
      <c r="C43" s="21">
        <f>VLOOKUP($C$36&amp;"-"&amp;B43,'Base de dados'!A:D,4,FALSE)</f>
        <v>0.1</v>
      </c>
      <c r="D43" s="22">
        <f t="shared" si="1"/>
        <v>70</v>
      </c>
    </row>
    <row r="44" spans="1:4" x14ac:dyDescent="0.3">
      <c r="B44" s="41" t="s">
        <v>24</v>
      </c>
      <c r="C44" s="21">
        <f>VLOOKUP($C$36&amp;"-"&amp;B44,'Base de dados'!A:D,4,FALSE)</f>
        <v>0</v>
      </c>
      <c r="D44" s="22">
        <f t="shared" si="1"/>
        <v>0</v>
      </c>
    </row>
    <row r="45" spans="1:4" x14ac:dyDescent="0.3">
      <c r="B45" s="41" t="s">
        <v>25</v>
      </c>
      <c r="C45" s="21">
        <f>VLOOKUP($C$36&amp;"-"&amp;B45,'Base de dados'!A:D,4,FALSE)</f>
        <v>0</v>
      </c>
      <c r="D45" s="22">
        <f t="shared" si="1"/>
        <v>0</v>
      </c>
    </row>
    <row r="46" spans="1:4" x14ac:dyDescent="0.3">
      <c r="B46" s="24"/>
      <c r="C46" s="25"/>
      <c r="D46" s="26">
        <f>SUM(D40:D45)</f>
        <v>700</v>
      </c>
    </row>
  </sheetData>
  <mergeCells count="14">
    <mergeCell ref="B22:C22"/>
    <mergeCell ref="C37:D37"/>
    <mergeCell ref="C36:D36"/>
    <mergeCell ref="B29:C29"/>
    <mergeCell ref="B10:D10"/>
    <mergeCell ref="B11:C11"/>
    <mergeCell ref="B12:C12"/>
    <mergeCell ref="B13:C13"/>
    <mergeCell ref="B20:C20"/>
    <mergeCell ref="B19:C19"/>
    <mergeCell ref="B18:C18"/>
    <mergeCell ref="B17:C17"/>
    <mergeCell ref="B16:C16"/>
    <mergeCell ref="B15:D15"/>
  </mergeCells>
  <dataValidations count="1">
    <dataValidation type="list" allowBlank="1" showInputMessage="1" showErrorMessage="1" sqref="C36" xr:uid="{00000000-0002-0000-0000-00000000000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936F-3788-4722-B237-79B1C11DD206}">
  <dimension ref="A3:D21"/>
  <sheetViews>
    <sheetView workbookViewId="0">
      <selection activeCell="G27" sqref="G27"/>
    </sheetView>
  </sheetViews>
  <sheetFormatPr defaultRowHeight="15" x14ac:dyDescent="0.25"/>
  <cols>
    <col min="1" max="1" width="33.85546875" bestFit="1" customWidth="1"/>
    <col min="2" max="2" width="14.7109375" style="31" bestFit="1" customWidth="1"/>
    <col min="3" max="3" width="19" style="31" bestFit="1" customWidth="1"/>
    <col min="4" max="4" width="9.140625" style="32"/>
  </cols>
  <sheetData>
    <row r="3" spans="1:4" x14ac:dyDescent="0.25">
      <c r="A3" s="37" t="s">
        <v>29</v>
      </c>
      <c r="B3" s="37" t="s">
        <v>18</v>
      </c>
      <c r="C3" s="37" t="s">
        <v>19</v>
      </c>
      <c r="D3" s="38" t="s">
        <v>28</v>
      </c>
    </row>
    <row r="4" spans="1:4" x14ac:dyDescent="0.25">
      <c r="A4" t="str">
        <f>B4&amp;"-"&amp;C4</f>
        <v>CONSERVADOR-PAPEL</v>
      </c>
      <c r="B4" s="31" t="s">
        <v>16</v>
      </c>
      <c r="C4" s="31" t="s">
        <v>20</v>
      </c>
      <c r="D4" s="32">
        <v>0.3</v>
      </c>
    </row>
    <row r="5" spans="1:4" x14ac:dyDescent="0.25">
      <c r="A5" t="str">
        <f t="shared" ref="A5:A21" si="0">B5&amp;"-"&amp;C5</f>
        <v>CONSERVADOR-TIJOLO</v>
      </c>
      <c r="B5" s="31" t="s">
        <v>16</v>
      </c>
      <c r="C5" s="31" t="s">
        <v>21</v>
      </c>
      <c r="D5" s="32">
        <v>0.5</v>
      </c>
    </row>
    <row r="6" spans="1:4" x14ac:dyDescent="0.25">
      <c r="A6" t="str">
        <f t="shared" si="0"/>
        <v>CONSERVADOR-HÍBRIDOS</v>
      </c>
      <c r="B6" s="31" t="s">
        <v>16</v>
      </c>
      <c r="C6" s="31" t="s">
        <v>22</v>
      </c>
      <c r="D6" s="32">
        <v>0.1</v>
      </c>
    </row>
    <row r="7" spans="1:4" x14ac:dyDescent="0.25">
      <c r="A7" t="str">
        <f t="shared" si="0"/>
        <v>CONSERVADOR-FOFs</v>
      </c>
      <c r="B7" s="31" t="s">
        <v>16</v>
      </c>
      <c r="C7" s="31" t="s">
        <v>23</v>
      </c>
      <c r="D7" s="32">
        <v>0.1</v>
      </c>
    </row>
    <row r="8" spans="1:4" x14ac:dyDescent="0.25">
      <c r="A8" t="str">
        <f t="shared" si="0"/>
        <v>CONSERVADOR-DESENVOLVIMENTO</v>
      </c>
      <c r="B8" s="31" t="s">
        <v>16</v>
      </c>
      <c r="C8" s="31" t="s">
        <v>24</v>
      </c>
      <c r="D8" s="32">
        <v>0</v>
      </c>
    </row>
    <row r="9" spans="1:4" ht="15.75" thickBot="1" x14ac:dyDescent="0.3">
      <c r="A9" s="30" t="str">
        <f t="shared" si="0"/>
        <v>CONSERVADOR-HOTELARIAS</v>
      </c>
      <c r="B9" s="35" t="s">
        <v>16</v>
      </c>
      <c r="C9" s="35" t="s">
        <v>25</v>
      </c>
      <c r="D9" s="33">
        <v>0</v>
      </c>
    </row>
    <row r="10" spans="1:4" x14ac:dyDescent="0.25">
      <c r="A10" t="str">
        <f t="shared" si="0"/>
        <v>MODERADO-PAPEL</v>
      </c>
      <c r="B10" s="31" t="s">
        <v>30</v>
      </c>
      <c r="C10" s="31" t="s">
        <v>20</v>
      </c>
      <c r="D10" s="34">
        <v>0.32</v>
      </c>
    </row>
    <row r="11" spans="1:4" x14ac:dyDescent="0.25">
      <c r="A11" t="str">
        <f t="shared" si="0"/>
        <v>MODERADO-TIJOLO</v>
      </c>
      <c r="B11" s="31" t="s">
        <v>30</v>
      </c>
      <c r="C11" s="31" t="s">
        <v>21</v>
      </c>
      <c r="D11" s="34">
        <v>0.35</v>
      </c>
    </row>
    <row r="12" spans="1:4" x14ac:dyDescent="0.25">
      <c r="A12" t="str">
        <f t="shared" si="0"/>
        <v>MODERADO-HÍBRIDOS</v>
      </c>
      <c r="B12" s="31" t="s">
        <v>30</v>
      </c>
      <c r="C12" s="31" t="s">
        <v>22</v>
      </c>
      <c r="D12" s="32">
        <v>0.08</v>
      </c>
    </row>
    <row r="13" spans="1:4" x14ac:dyDescent="0.25">
      <c r="A13" t="str">
        <f t="shared" si="0"/>
        <v>MODERADO-FOFs</v>
      </c>
      <c r="B13" s="31" t="s">
        <v>30</v>
      </c>
      <c r="C13" s="31" t="s">
        <v>23</v>
      </c>
      <c r="D13" s="32">
        <v>0.05</v>
      </c>
    </row>
    <row r="14" spans="1:4" x14ac:dyDescent="0.25">
      <c r="A14" t="str">
        <f t="shared" si="0"/>
        <v>MODERADO-DESENVOLVIMENTO</v>
      </c>
      <c r="B14" s="31" t="s">
        <v>30</v>
      </c>
      <c r="C14" s="31" t="s">
        <v>24</v>
      </c>
      <c r="D14" s="32">
        <v>0.1</v>
      </c>
    </row>
    <row r="15" spans="1:4" ht="15.75" thickBot="1" x14ac:dyDescent="0.3">
      <c r="A15" s="30" t="str">
        <f t="shared" si="0"/>
        <v>MODERADO-HOTELARIAS</v>
      </c>
      <c r="B15" s="35" t="s">
        <v>30</v>
      </c>
      <c r="C15" s="35" t="s">
        <v>25</v>
      </c>
      <c r="D15" s="33">
        <v>0.1</v>
      </c>
    </row>
    <row r="16" spans="1:4" x14ac:dyDescent="0.25">
      <c r="A16" t="str">
        <f t="shared" si="0"/>
        <v>AGRESSIVO-PAPEL</v>
      </c>
      <c r="B16" s="31" t="s">
        <v>31</v>
      </c>
      <c r="C16" s="31" t="s">
        <v>20</v>
      </c>
      <c r="D16" s="32">
        <v>0.5</v>
      </c>
    </row>
    <row r="17" spans="1:4" x14ac:dyDescent="0.25">
      <c r="A17" t="str">
        <f t="shared" si="0"/>
        <v>AGRESSIVO-TIJOLO</v>
      </c>
      <c r="B17" s="31" t="s">
        <v>31</v>
      </c>
      <c r="C17" s="31" t="s">
        <v>21</v>
      </c>
      <c r="D17" s="32">
        <v>0.1</v>
      </c>
    </row>
    <row r="18" spans="1:4" x14ac:dyDescent="0.25">
      <c r="A18" t="str">
        <f t="shared" si="0"/>
        <v>AGRESSIVO-HÍBRIDOS</v>
      </c>
      <c r="B18" s="31" t="s">
        <v>31</v>
      </c>
      <c r="C18" s="31" t="s">
        <v>22</v>
      </c>
      <c r="D18" s="32">
        <v>0.05</v>
      </c>
    </row>
    <row r="19" spans="1:4" x14ac:dyDescent="0.25">
      <c r="A19" t="str">
        <f t="shared" si="0"/>
        <v>AGRESSIVO-FOFs</v>
      </c>
      <c r="B19" s="31" t="s">
        <v>31</v>
      </c>
      <c r="C19" s="31" t="s">
        <v>23</v>
      </c>
      <c r="D19" s="32">
        <v>0.05</v>
      </c>
    </row>
    <row r="20" spans="1:4" x14ac:dyDescent="0.25">
      <c r="A20" t="str">
        <f t="shared" si="0"/>
        <v>AGRESSIVO-DESENVOLVIMENTO</v>
      </c>
      <c r="B20" s="31" t="s">
        <v>31</v>
      </c>
      <c r="C20" s="31" t="s">
        <v>24</v>
      </c>
      <c r="D20" s="32">
        <v>0.2</v>
      </c>
    </row>
    <row r="21" spans="1:4" x14ac:dyDescent="0.25">
      <c r="A21" t="str">
        <f t="shared" si="0"/>
        <v>AGRESSIVO-HOTELARIAS</v>
      </c>
      <c r="B21" s="31" t="s">
        <v>31</v>
      </c>
      <c r="C21" s="31" t="s">
        <v>25</v>
      </c>
      <c r="D21" s="3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APP</vt:lpstr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Zaiden</dc:creator>
  <cp:lastModifiedBy>Tiago Zaiden</cp:lastModifiedBy>
  <dcterms:created xsi:type="dcterms:W3CDTF">2026-09-14T17:14:12Z</dcterms:created>
  <dcterms:modified xsi:type="dcterms:W3CDTF">2026-09-16T15:11:29Z</dcterms:modified>
</cp:coreProperties>
</file>